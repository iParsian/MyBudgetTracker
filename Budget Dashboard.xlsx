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97a5cd32c747d/Projects/MyBudgetTracker/"/>
    </mc:Choice>
  </mc:AlternateContent>
  <xr:revisionPtr revIDLastSave="2" documentId="8_{3316EAE7-93F6-499B-86F9-E9F45EC5C575}" xr6:coauthVersionLast="47" xr6:coauthVersionMax="47" xr10:uidLastSave="{7191AAFE-5D63-4C38-B712-625BEC0A6877}"/>
  <bookViews>
    <workbookView xWindow="-120" yWindow="-120" windowWidth="38640" windowHeight="15720" activeTab="2" xr2:uid="{C1ED22A7-BB85-46C9-878D-6100294EE39A}"/>
  </bookViews>
  <sheets>
    <sheet name="Transaction Tracker" sheetId="1" r:id="rId1"/>
    <sheet name="Monthly Budget" sheetId="4" r:id="rId2"/>
    <sheet name="Annual Financial Dashboard" sheetId="3" r:id="rId3"/>
    <sheet name="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4" l="1" a="1"/>
  <c r="F2" i="1" a="1"/>
  <c r="D31" i="1"/>
  <c r="B9" i="4"/>
  <c r="C9" i="4"/>
  <c r="D3" i="4"/>
  <c r="D4" i="4"/>
  <c r="D5" i="4"/>
  <c r="D6" i="4"/>
  <c r="D7" i="4"/>
  <c r="D8" i="4"/>
  <c r="D2" i="4"/>
  <c r="G8" i="1" l="1"/>
  <c r="G7" i="1"/>
  <c r="I7" i="1" s="1"/>
  <c r="G3" i="1"/>
  <c r="I3" i="1" s="1"/>
  <c r="G4" i="1"/>
  <c r="I4" i="1" s="1"/>
  <c r="G5" i="1"/>
  <c r="I5" i="1" s="1"/>
  <c r="G6" i="1"/>
  <c r="I6" i="1" s="1"/>
  <c r="G2" i="1"/>
  <c r="I2" i="1" s="1"/>
  <c r="D9" i="4"/>
  <c r="I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<sst xmlns="http://schemas.openxmlformats.org/spreadsheetml/2006/main" count="54" uniqueCount="36">
  <si>
    <t>Expenses</t>
  </si>
  <si>
    <t>Amount</t>
  </si>
  <si>
    <t>Category</t>
  </si>
  <si>
    <t>Fast Food</t>
  </si>
  <si>
    <t>Date</t>
  </si>
  <si>
    <t>Tennis</t>
  </si>
  <si>
    <t>Sport</t>
  </si>
  <si>
    <t>Food</t>
  </si>
  <si>
    <t>Education</t>
  </si>
  <si>
    <t>CATAGORIES</t>
  </si>
  <si>
    <t>Description</t>
  </si>
  <si>
    <t>Housing</t>
  </si>
  <si>
    <t>Transport</t>
  </si>
  <si>
    <t>Utilities</t>
  </si>
  <si>
    <t>Health</t>
  </si>
  <si>
    <t>Entertainment</t>
  </si>
  <si>
    <t>Travel</t>
  </si>
  <si>
    <t>Savings</t>
  </si>
  <si>
    <t>Miscellaneous</t>
  </si>
  <si>
    <t>Tehran Data Debt</t>
  </si>
  <si>
    <t>Salary</t>
  </si>
  <si>
    <t>Rent</t>
  </si>
  <si>
    <t>Month</t>
  </si>
  <si>
    <t>Income</t>
  </si>
  <si>
    <t>Jan</t>
  </si>
  <si>
    <t>Feb</t>
  </si>
  <si>
    <t>Mar</t>
  </si>
  <si>
    <t>Budget</t>
  </si>
  <si>
    <t>Actual</t>
  </si>
  <si>
    <t>Difference</t>
  </si>
  <si>
    <t>Transportation</t>
  </si>
  <si>
    <t>Total</t>
  </si>
  <si>
    <t>TOTAL</t>
  </si>
  <si>
    <t>Vape</t>
  </si>
  <si>
    <t>Snap Pay</t>
  </si>
  <si>
    <t>Girlfriend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</si>
</sst>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IRR]\ * #,##0_-;\-[$IRR]\ * #,##0_-;_-[$IRR]\ * &quot;-&quot;_-;_-@_-"/>
    <numFmt numFmtId="165" formatCode="[$-160429]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4" fontId="2" fillId="2" borderId="1" xfId="0" applyNumberFormat="1" applyFont="1" applyFill="1" applyBorder="1"/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9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'Transaction Tracker'!$G$1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AB-4817-B8E6-F993CC6917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2AB-4817-B8E6-F993CC6917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AB-4817-B8E6-F993CC6917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2AB-4817-B8E6-F993CC6917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AB-4817-B8E6-F993CC6917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2AB-4817-B8E6-F993CC6917B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AB-4817-B8E6-F993CC6917B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2AB-4817-B8E6-F993CC6917B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2AB-4817-B8E6-F993CC6917B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2AB-4817-B8E6-F993CC6917B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2AB-4817-B8E6-F993CC6917B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2AB-4817-B8E6-F993CC6917B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'Transaction Tracker'!$F$2:$F$7</c:f>
              <c:strCache>
                <c:ptCount val="6"/>
                <c:pt idx="0">
                  <c:v>Salary</c:v>
                </c:pt>
                <c:pt idx="1">
                  <c:v>Girlfriend Expenses</c:v>
                </c:pt>
                <c:pt idx="2">
                  <c:v>Sport</c:v>
                </c:pt>
                <c:pt idx="3">
                  <c:v>Education</c:v>
                </c:pt>
                <c:pt idx="4">
                  <c:v>Miscellaneous</c:v>
                </c:pt>
                <c:pt idx="5">
                  <c:v>0</c:v>
                </c:pt>
              </c:strCache>
            </c:strRef>
          </c:cat>
          <c:val>
            <c:numRef>
              <c:f>'Transaction Tracker'!$G$2:$G$7</c:f>
              <c:numCache>
                <c:formatCode>_-[$IRR]\ * #,##0_-;\-[$IRR]\ * #,##0_-;_-[$IRR]\ * "-"_-;_-@_-</c:formatCode>
                <c:ptCount val="6"/>
                <c:pt idx="0">
                  <c:v>1324000000</c:v>
                </c:pt>
                <c:pt idx="1">
                  <c:v>-21959000</c:v>
                </c:pt>
                <c:pt idx="2">
                  <c:v>-90000000</c:v>
                </c:pt>
                <c:pt idx="3">
                  <c:v>-164100000</c:v>
                </c:pt>
                <c:pt idx="4">
                  <c:v>-18000000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B-4817-B8E6-F993CC6917B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</xdr:row>
      <xdr:rowOff>28575</xdr:rowOff>
    </xdr:from>
    <xdr:to>
      <xdr:col>18</xdr:col>
      <xdr:colOff>581025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7C95E-317C-409D-13C3-3B68F0019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FD8-A55B-4FFE-B61D-97EB07C9A4B5}">
  <dimension ref="A1:I31"/>
  <sheetViews>
    <sheetView workbookViewId="0">
      <selection activeCell="C16" sqref="C16"/>
    </sheetView>
  </sheetViews>
  <sheetFormatPr defaultRowHeight="15" x14ac:dyDescent="0.25"/>
  <cols>
    <col min="1" max="1" width="15.140625" customWidth="1"/>
    <col min="2" max="2" width="37.28515625" customWidth="1"/>
    <col min="3" max="3" width="24.140625" customWidth="1"/>
    <col min="4" max="4" width="23.42578125" customWidth="1"/>
    <col min="6" max="6" width="18.5703125" customWidth="1"/>
    <col min="7" max="7" width="25.28515625" customWidth="1"/>
    <col min="8" max="8" width="17" customWidth="1"/>
    <col min="9" max="9" width="17.28515625" customWidth="1"/>
    <col min="10" max="10" width="17" customWidth="1"/>
  </cols>
  <sheetData>
    <row r="1" spans="1:9" ht="33" customHeight="1" x14ac:dyDescent="0.25">
      <c r="A1" s="13" t="s">
        <v>4</v>
      </c>
      <c r="B1" s="14" t="s">
        <v>10</v>
      </c>
      <c r="C1" s="13" t="s">
        <v>2</v>
      </c>
      <c r="D1" s="13" t="s">
        <v>1</v>
      </c>
      <c r="F1" s="13" t="s">
        <v>2</v>
      </c>
      <c r="G1" s="13" t="s">
        <v>1</v>
      </c>
      <c r="H1" s="13" t="s">
        <v>27</v>
      </c>
      <c r="I1" s="13" t="s">
        <v>29</v>
      </c>
    </row>
    <row r="2" spans="1:9" x14ac:dyDescent="0.25">
      <c r="A2" s="21">
        <v>46172</v>
      </c>
      <c r="B2" s="18" t="s">
        <v>20</v>
      </c>
      <c r="C2" s="19" t="s">
        <v>20</v>
      </c>
      <c r="D2" s="20">
        <v>1324000000</v>
      </c>
      <c r="F2" s="2" t="str" cm="1">
        <f t="array" ref="F2:F7">_xlfn.UNIQUE(C2:C30)</f>
        <v>Salary</v>
      </c>
      <c r="G2" s="1">
        <f>SUMIF($C$2:$C$30,F2,$D$2:$D$30)</f>
        <v>1324000000</v>
      </c>
      <c r="I2" s="1">
        <f>H2-G2</f>
        <v>-1324000000</v>
      </c>
    </row>
    <row r="3" spans="1:9" x14ac:dyDescent="0.25">
      <c r="A3" s="22">
        <v>46172</v>
      </c>
      <c r="B3" s="5" t="s">
        <v>3</v>
      </c>
      <c r="C3" s="6" t="s">
        <v>35</v>
      </c>
      <c r="D3" s="7">
        <v>-6959000</v>
      </c>
      <c r="F3" s="2" t="str">
        <v>Girlfriend Expenses</v>
      </c>
      <c r="G3" s="1">
        <f t="shared" ref="G3:G8" si="0">SUMIF($C$2:$C$30,F3,$D$2:$D$30)</f>
        <v>-21959000</v>
      </c>
      <c r="I3" s="1">
        <f t="shared" ref="I3:I8" si="1">H3-G3</f>
        <v>21959000</v>
      </c>
    </row>
    <row r="4" spans="1:9" x14ac:dyDescent="0.25">
      <c r="A4" s="22">
        <v>46172</v>
      </c>
      <c r="B4" s="5" t="s">
        <v>5</v>
      </c>
      <c r="C4" s="6" t="s">
        <v>6</v>
      </c>
      <c r="D4" s="7">
        <v>-90000000</v>
      </c>
      <c r="F4" s="2" t="str">
        <v>Sport</v>
      </c>
      <c r="G4" s="1">
        <f t="shared" si="0"/>
        <v>-90000000</v>
      </c>
      <c r="I4" s="1">
        <f t="shared" si="1"/>
        <v>90000000</v>
      </c>
    </row>
    <row r="5" spans="1:9" x14ac:dyDescent="0.25">
      <c r="A5" s="22">
        <v>46172</v>
      </c>
      <c r="B5" s="5" t="s">
        <v>19</v>
      </c>
      <c r="C5" s="6" t="s">
        <v>8</v>
      </c>
      <c r="D5" s="7">
        <v>-164100000</v>
      </c>
      <c r="F5" s="2" t="str">
        <v>Education</v>
      </c>
      <c r="G5" s="1">
        <f t="shared" si="0"/>
        <v>-164100000</v>
      </c>
      <c r="I5" s="1">
        <f t="shared" si="1"/>
        <v>164100000</v>
      </c>
    </row>
    <row r="6" spans="1:9" x14ac:dyDescent="0.25">
      <c r="A6" s="22">
        <v>46172</v>
      </c>
      <c r="B6" s="5" t="s">
        <v>33</v>
      </c>
      <c r="C6" s="6" t="s">
        <v>18</v>
      </c>
      <c r="D6" s="7">
        <v>-18000000</v>
      </c>
      <c r="F6" s="8" t="str">
        <v>Miscellaneous</v>
      </c>
      <c r="G6" s="1">
        <f t="shared" si="0"/>
        <v>-18000000</v>
      </c>
      <c r="I6" s="1">
        <f t="shared" si="1"/>
        <v>18000000</v>
      </c>
    </row>
    <row r="7" spans="1:9" x14ac:dyDescent="0.25">
      <c r="A7" s="22">
        <v>46172</v>
      </c>
      <c r="B7" s="5" t="s">
        <v>34</v>
      </c>
      <c r="C7" s="6" t="s">
        <v>35</v>
      </c>
      <c r="D7" s="7">
        <v>-15000000</v>
      </c>
      <c r="F7" s="8">
        <v>0</v>
      </c>
      <c r="G7" s="1">
        <f t="shared" si="0"/>
        <v>0</v>
      </c>
      <c r="I7" s="1">
        <f t="shared" si="1"/>
        <v>0</v>
      </c>
    </row>
    <row r="8" spans="1:9" x14ac:dyDescent="0.25">
      <c r="A8" s="22"/>
      <c r="B8" s="5"/>
      <c r="C8" s="6"/>
      <c r="D8" s="7"/>
      <c r="G8" s="1">
        <f t="shared" si="0"/>
        <v>0</v>
      </c>
      <c r="I8" s="1">
        <f t="shared" si="1"/>
        <v>0</v>
      </c>
    </row>
    <row r="9" spans="1:9" x14ac:dyDescent="0.25">
      <c r="A9" s="22"/>
      <c r="B9" s="5"/>
      <c r="C9" s="6"/>
      <c r="D9" s="7"/>
    </row>
    <row r="10" spans="1:9" x14ac:dyDescent="0.25">
      <c r="A10" s="22"/>
      <c r="B10" s="5"/>
      <c r="C10" s="6"/>
      <c r="D10" s="7"/>
    </row>
    <row r="11" spans="1:9" x14ac:dyDescent="0.25">
      <c r="A11" s="22"/>
      <c r="B11" s="5"/>
      <c r="C11" s="6"/>
      <c r="D11" s="7"/>
    </row>
    <row r="12" spans="1:9" x14ac:dyDescent="0.25">
      <c r="A12" s="22"/>
      <c r="B12" s="5"/>
      <c r="C12" s="6"/>
      <c r="D12" s="7"/>
    </row>
    <row r="13" spans="1:9" x14ac:dyDescent="0.25">
      <c r="A13" s="22"/>
      <c r="B13" s="5"/>
      <c r="C13" s="6"/>
      <c r="D13" s="7"/>
    </row>
    <row r="14" spans="1:9" x14ac:dyDescent="0.25">
      <c r="A14" s="22"/>
      <c r="B14" s="5"/>
      <c r="C14" s="6"/>
      <c r="D14" s="7"/>
    </row>
    <row r="15" spans="1:9" x14ac:dyDescent="0.25">
      <c r="A15" s="22"/>
      <c r="B15" s="5"/>
      <c r="C15" s="6"/>
      <c r="D15" s="7"/>
    </row>
    <row r="16" spans="1:9" x14ac:dyDescent="0.25">
      <c r="A16" s="22"/>
      <c r="B16" s="5"/>
      <c r="C16" s="6"/>
      <c r="D16" s="7"/>
    </row>
    <row r="17" spans="1:4" x14ac:dyDescent="0.25">
      <c r="A17" s="22"/>
      <c r="B17" s="5"/>
      <c r="C17" s="6"/>
      <c r="D17" s="7"/>
    </row>
    <row r="18" spans="1:4" x14ac:dyDescent="0.25">
      <c r="A18" s="22"/>
      <c r="B18" s="5"/>
      <c r="C18" s="6"/>
      <c r="D18" s="7"/>
    </row>
    <row r="19" spans="1:4" x14ac:dyDescent="0.25">
      <c r="A19" s="22"/>
      <c r="B19" s="5"/>
      <c r="C19" s="6"/>
      <c r="D19" s="7"/>
    </row>
    <row r="20" spans="1:4" x14ac:dyDescent="0.25">
      <c r="A20" s="22"/>
      <c r="B20" s="5"/>
      <c r="C20" s="6"/>
      <c r="D20" s="7"/>
    </row>
    <row r="21" spans="1:4" x14ac:dyDescent="0.25">
      <c r="A21" s="22"/>
      <c r="B21" s="5"/>
      <c r="C21" s="6"/>
      <c r="D21" s="7"/>
    </row>
    <row r="22" spans="1:4" x14ac:dyDescent="0.25">
      <c r="A22" s="22"/>
      <c r="B22" s="5"/>
      <c r="C22" s="6"/>
      <c r="D22" s="7"/>
    </row>
    <row r="23" spans="1:4" x14ac:dyDescent="0.25">
      <c r="A23" s="22"/>
      <c r="B23" s="5"/>
      <c r="C23" s="6"/>
      <c r="D23" s="7"/>
    </row>
    <row r="24" spans="1:4" x14ac:dyDescent="0.25">
      <c r="A24" s="22"/>
      <c r="B24" s="5"/>
      <c r="C24" s="6"/>
      <c r="D24" s="7"/>
    </row>
    <row r="25" spans="1:4" x14ac:dyDescent="0.25">
      <c r="A25" s="22"/>
      <c r="B25" s="5"/>
      <c r="C25" s="6"/>
      <c r="D25" s="7"/>
    </row>
    <row r="26" spans="1:4" x14ac:dyDescent="0.25">
      <c r="A26" s="22"/>
      <c r="B26" s="5"/>
      <c r="C26" s="6"/>
      <c r="D26" s="7"/>
    </row>
    <row r="27" spans="1:4" x14ac:dyDescent="0.25">
      <c r="A27" s="22"/>
      <c r="B27" s="5"/>
      <c r="C27" s="6"/>
      <c r="D27" s="7"/>
    </row>
    <row r="28" spans="1:4" x14ac:dyDescent="0.25">
      <c r="A28" s="22"/>
      <c r="B28" s="5"/>
      <c r="C28" s="6"/>
      <c r="D28" s="7"/>
    </row>
    <row r="29" spans="1:4" x14ac:dyDescent="0.25">
      <c r="A29" s="22"/>
      <c r="B29" s="5"/>
      <c r="C29" s="6"/>
      <c r="D29" s="7"/>
    </row>
    <row r="30" spans="1:4" x14ac:dyDescent="0.25">
      <c r="A30" s="22"/>
      <c r="B30" s="5"/>
      <c r="C30" s="6"/>
      <c r="D30" s="7"/>
    </row>
    <row r="31" spans="1:4" x14ac:dyDescent="0.25">
      <c r="A31" s="13" t="s">
        <v>32</v>
      </c>
      <c r="B31" s="23"/>
      <c r="C31" s="24"/>
      <c r="D31" s="17">
        <f>SUM(D2:D30)</f>
        <v>1029941000</v>
      </c>
    </row>
  </sheetData>
  <mergeCells count="1">
    <mergeCell ref="B31:C31"/>
  </mergeCells>
  <conditionalFormatting sqref="D2:D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F6F0E5-19C9-4A3A-98C9-5AC44C0630CD}">
          <x14:formula1>
            <xm:f>DATA!$A$2:$A$15</xm:f>
          </x14:formula1>
          <xm:sqref>C2:C30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7859-6D4D-419B-9987-6FAE5F393A16}">
  <dimension ref="A1:D9"/>
  <sheetViews>
    <sheetView workbookViewId="0">
      <selection activeCell="D1" sqref="D1"/>
    </sheetView>
  </sheetViews>
  <sheetFormatPr defaultRowHeight="15" x14ac:dyDescent="0.25"/>
  <cols>
    <col min="1" max="4" width="15.7109375" customWidth="1"/>
  </cols>
  <sheetData>
    <row r="1" spans="1:4" ht="28.5" customHeight="1" x14ac:dyDescent="0.25">
      <c r="A1" s="9" t="s">
        <v>2</v>
      </c>
      <c r="B1" s="9" t="s">
        <v>27</v>
      </c>
      <c r="C1" s="9" t="s">
        <v>28</v>
      </c>
      <c r="D1" s="9" t="s">
        <v>29</v>
      </c>
    </row>
    <row r="2" spans="1:4" x14ac:dyDescent="0.25">
      <c r="A2" s="4" t="e" cm="1" vm="1">
        <f t="array" aca="1" ref="A2" ca="1">_xlfn.UNIQUE('Transaction Tracker'!C2:C30)</f>
        <v>#VALUE!</v>
      </c>
      <c r="B2" s="15"/>
      <c r="C2" s="15">
        <v>2500</v>
      </c>
      <c r="D2" s="15">
        <f>B2-C2</f>
        <v>-2500</v>
      </c>
    </row>
    <row r="3" spans="1:4" x14ac:dyDescent="0.25">
      <c r="A3" s="4" t="s">
        <v>11</v>
      </c>
      <c r="B3" s="4"/>
      <c r="C3" s="4">
        <v>680</v>
      </c>
      <c r="D3" s="15">
        <f t="shared" ref="D3:D9" si="0">B3-C3</f>
        <v>-680</v>
      </c>
    </row>
    <row r="4" spans="1:4" x14ac:dyDescent="0.25">
      <c r="A4" s="4" t="s">
        <v>7</v>
      </c>
      <c r="B4" s="4"/>
      <c r="C4" s="4">
        <v>340</v>
      </c>
      <c r="D4" s="15">
        <f t="shared" si="0"/>
        <v>-340</v>
      </c>
    </row>
    <row r="5" spans="1:4" x14ac:dyDescent="0.25">
      <c r="A5" s="4" t="s">
        <v>30</v>
      </c>
      <c r="B5" s="4"/>
      <c r="C5" s="4">
        <v>120</v>
      </c>
      <c r="D5" s="15">
        <f t="shared" si="0"/>
        <v>-120</v>
      </c>
    </row>
    <row r="6" spans="1:4" x14ac:dyDescent="0.25">
      <c r="A6" s="4" t="s">
        <v>13</v>
      </c>
      <c r="B6" s="4"/>
      <c r="C6" s="4">
        <v>115</v>
      </c>
      <c r="D6" s="15">
        <f t="shared" si="0"/>
        <v>-115</v>
      </c>
    </row>
    <row r="7" spans="1:4" x14ac:dyDescent="0.25">
      <c r="A7" s="4" t="s">
        <v>15</v>
      </c>
      <c r="B7" s="4"/>
      <c r="C7" s="4">
        <v>250</v>
      </c>
      <c r="D7" s="15">
        <f t="shared" si="0"/>
        <v>-250</v>
      </c>
    </row>
    <row r="8" spans="1:4" x14ac:dyDescent="0.25">
      <c r="A8" s="4" t="s">
        <v>17</v>
      </c>
      <c r="B8" s="4"/>
      <c r="C8" s="4">
        <v>500</v>
      </c>
      <c r="D8" s="15">
        <f t="shared" si="0"/>
        <v>-500</v>
      </c>
    </row>
    <row r="9" spans="1:4" x14ac:dyDescent="0.25">
      <c r="A9" s="9" t="s">
        <v>31</v>
      </c>
      <c r="B9" s="16">
        <f>SUM(B2:B8)</f>
        <v>0</v>
      </c>
      <c r="C9" s="16">
        <f>SUM(C2:C8)</f>
        <v>4505</v>
      </c>
      <c r="D9" s="16">
        <f t="shared" si="0"/>
        <v>-4505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B43D-9E82-4009-8A39-32B9F1C2FBF3}">
  <dimension ref="A1:D4"/>
  <sheetViews>
    <sheetView tabSelected="1" workbookViewId="0">
      <selection activeCell="B3" sqref="B3"/>
    </sheetView>
  </sheetViews>
  <sheetFormatPr defaultRowHeight="15" x14ac:dyDescent="0.25"/>
  <cols>
    <col min="1" max="4" width="17.28515625" style="3" customWidth="1"/>
  </cols>
  <sheetData>
    <row r="1" spans="1:4" x14ac:dyDescent="0.25">
      <c r="A1" s="11" t="s">
        <v>22</v>
      </c>
      <c r="B1" s="11" t="s">
        <v>23</v>
      </c>
      <c r="C1" s="11" t="s">
        <v>0</v>
      </c>
      <c r="D1" s="11" t="s">
        <v>17</v>
      </c>
    </row>
    <row r="2" spans="1:4" x14ac:dyDescent="0.25">
      <c r="A2" s="10" t="s">
        <v>24</v>
      </c>
      <c r="B2" s="12">
        <v>2500</v>
      </c>
      <c r="C2" s="12">
        <v>1900</v>
      </c>
      <c r="D2" s="10">
        <v>600</v>
      </c>
    </row>
    <row r="3" spans="1:4" x14ac:dyDescent="0.25">
      <c r="A3" s="10" t="s">
        <v>25</v>
      </c>
      <c r="B3" s="12">
        <v>2500</v>
      </c>
      <c r="C3" s="12">
        <v>2050</v>
      </c>
      <c r="D3" s="10">
        <v>450</v>
      </c>
    </row>
    <row r="4" spans="1:4" x14ac:dyDescent="0.25">
      <c r="A4" s="10" t="s">
        <v>26</v>
      </c>
      <c r="B4" s="12">
        <v>2700</v>
      </c>
      <c r="C4" s="12">
        <v>1950</v>
      </c>
      <c r="D4" s="10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C58C-F55C-4211-B368-6FFEE0F83E60}">
  <dimension ref="A1:A16"/>
  <sheetViews>
    <sheetView workbookViewId="0">
      <selection activeCell="E7" sqref="E7"/>
    </sheetView>
  </sheetViews>
  <sheetFormatPr defaultRowHeight="15" x14ac:dyDescent="0.25"/>
  <cols>
    <col min="1" max="1" width="17.7109375" customWidth="1"/>
  </cols>
  <sheetData>
    <row r="1" spans="1:1" x14ac:dyDescent="0.25">
      <c r="A1" s="9" t="s">
        <v>9</v>
      </c>
    </row>
    <row r="2" spans="1:1" x14ac:dyDescent="0.25">
      <c r="A2" s="4" t="s">
        <v>8</v>
      </c>
    </row>
    <row r="3" spans="1:1" x14ac:dyDescent="0.25">
      <c r="A3" s="3" t="s">
        <v>15</v>
      </c>
    </row>
    <row r="4" spans="1:1" x14ac:dyDescent="0.25">
      <c r="A4" s="4" t="s">
        <v>7</v>
      </c>
    </row>
    <row r="5" spans="1:1" x14ac:dyDescent="0.25">
      <c r="A5" s="3" t="s">
        <v>14</v>
      </c>
    </row>
    <row r="6" spans="1:1" x14ac:dyDescent="0.25">
      <c r="A6" s="3" t="s">
        <v>11</v>
      </c>
    </row>
    <row r="7" spans="1:1" x14ac:dyDescent="0.25">
      <c r="A7" s="4" t="s">
        <v>18</v>
      </c>
    </row>
    <row r="8" spans="1:1" x14ac:dyDescent="0.25">
      <c r="A8" s="4" t="s">
        <v>35</v>
      </c>
    </row>
    <row r="9" spans="1:1" x14ac:dyDescent="0.25">
      <c r="A9" s="3" t="s">
        <v>21</v>
      </c>
    </row>
    <row r="10" spans="1:1" x14ac:dyDescent="0.25">
      <c r="A10" s="3" t="s">
        <v>20</v>
      </c>
    </row>
    <row r="11" spans="1:1" x14ac:dyDescent="0.25">
      <c r="A11" s="3" t="s">
        <v>17</v>
      </c>
    </row>
    <row r="12" spans="1:1" x14ac:dyDescent="0.25">
      <c r="A12" s="4" t="s">
        <v>6</v>
      </c>
    </row>
    <row r="13" spans="1:1" x14ac:dyDescent="0.25">
      <c r="A13" s="3" t="s">
        <v>12</v>
      </c>
    </row>
    <row r="14" spans="1:1" x14ac:dyDescent="0.25">
      <c r="A14" s="4" t="s">
        <v>16</v>
      </c>
    </row>
    <row r="15" spans="1:1" x14ac:dyDescent="0.25">
      <c r="A15" s="3" t="s">
        <v>13</v>
      </c>
    </row>
    <row r="16" spans="1:1" x14ac:dyDescent="0.25">
      <c r="A16" s="4"/>
    </row>
  </sheetData>
  <sortState xmlns:xlrd2="http://schemas.microsoft.com/office/spreadsheetml/2017/richdata2" ref="A3:A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 Tracker</vt:lpstr>
      <vt:lpstr>Monthly Budget</vt:lpstr>
      <vt:lpstr>Annual Financial 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Parsian</dc:creator>
  <cp:lastModifiedBy>Amir Parsian</cp:lastModifiedBy>
  <dcterms:created xsi:type="dcterms:W3CDTF">2026-05-30T08:38:57Z</dcterms:created>
  <dcterms:modified xsi:type="dcterms:W3CDTF">2026-05-30T11:16:16Z</dcterms:modified>
</cp:coreProperties>
</file>